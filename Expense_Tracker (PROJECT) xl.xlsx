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excel_preparation\"/>
    </mc:Choice>
  </mc:AlternateContent>
  <xr:revisionPtr revIDLastSave="0" documentId="13_ncr:1_{E877475B-FBBE-42FA-BE9A-BDBBE8C5E749}" xr6:coauthVersionLast="47" xr6:coauthVersionMax="47" xr10:uidLastSave="{00000000-0000-0000-0000-000000000000}"/>
  <bookViews>
    <workbookView xWindow="-110" yWindow="-110" windowWidth="19420" windowHeight="10300" activeTab="4" xr2:uid="{AF20B738-09BD-4AA2-9BA1-CC90A84B62BC}"/>
  </bookViews>
  <sheets>
    <sheet name="Data " sheetId="1" r:id="rId1"/>
    <sheet name="Summary" sheetId="2" r:id="rId2"/>
    <sheet name="Budget" sheetId="3" r:id="rId3"/>
    <sheet name="Pivot" sheetId="7" r:id="rId4"/>
    <sheet name="Dashboard" sheetId="5" r:id="rId5"/>
  </sheets>
  <definedNames>
    <definedName name="_xlnm._FilterDatabase" localSheetId="0" hidden="1">'Data '!$B$2:$G$50</definedName>
    <definedName name="_xlchart.v1.0" hidden="1">Summary!$B$15:$B$19</definedName>
    <definedName name="_xlchart.v1.1" hidden="1">Summary!$C$14</definedName>
    <definedName name="_xlchart.v1.2" hidden="1">Summary!$C$15:$C$19</definedName>
    <definedName name="_xlcn.WorksheetConnection_DataB2G501" hidden="1">'Data '!$B$2:$G$50</definedName>
  </definedNames>
  <calcPr calcId="191029"/>
  <pivotCaches>
    <pivotCache cacheId="48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Data !$B$2:$G$50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" i="2" l="1"/>
  <c r="G7" i="5" s="1"/>
  <c r="G6" i="5"/>
  <c r="C11" i="2"/>
  <c r="G8" i="5" s="1"/>
  <c r="C7" i="2"/>
  <c r="C9" i="2"/>
  <c r="C16" i="2"/>
  <c r="C17" i="2"/>
  <c r="C18" i="2"/>
  <c r="C19" i="2"/>
  <c r="C15" i="2"/>
  <c r="E16" i="2"/>
  <c r="E17" i="2"/>
  <c r="E18" i="2"/>
  <c r="E19" i="2"/>
  <c r="E15" i="2"/>
  <c r="D16" i="2"/>
  <c r="D17" i="2"/>
  <c r="D18" i="2"/>
  <c r="D19" i="2"/>
  <c r="D15" i="2"/>
  <c r="D3" i="3"/>
  <c r="D4" i="3"/>
  <c r="D5" i="3"/>
  <c r="D6" i="3"/>
  <c r="D7" i="3"/>
  <c r="C3" i="2"/>
  <c r="G5" i="1"/>
  <c r="G6" i="1"/>
  <c r="G7" i="1"/>
  <c r="G8" i="1"/>
  <c r="G9" i="1"/>
  <c r="G10" i="1"/>
  <c r="G12" i="1"/>
  <c r="G13" i="1"/>
  <c r="G14" i="1"/>
  <c r="G15" i="1"/>
  <c r="G16" i="1"/>
  <c r="G17" i="1"/>
  <c r="G18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4" i="1"/>
  <c r="F3" i="3" l="1"/>
  <c r="E3" i="3"/>
  <c r="F4" i="3"/>
  <c r="E4" i="3"/>
  <c r="F5" i="3"/>
  <c r="E5" i="3"/>
  <c r="F6" i="3"/>
  <c r="E6" i="3"/>
  <c r="F7" i="3"/>
  <c r="E7" i="3"/>
  <c r="F11" i="1"/>
  <c r="G11" i="1"/>
  <c r="F19" i="1"/>
  <c r="G19" i="1"/>
  <c r="F5" i="1"/>
  <c r="F6" i="1"/>
  <c r="F7" i="1"/>
  <c r="F8" i="1"/>
  <c r="F9" i="1"/>
  <c r="F10" i="1"/>
  <c r="F12" i="1"/>
  <c r="F13" i="1"/>
  <c r="F14" i="1"/>
  <c r="F15" i="1"/>
  <c r="F16" i="1"/>
  <c r="F17" i="1"/>
  <c r="F18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4" i="1"/>
  <c r="F3" i="1"/>
  <c r="G3" i="1"/>
  <c r="G9" i="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AC2D23-0CD5-42E1-BF30-120F8D8C86A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39D1BEEC-FE18-45D4-92DB-02251525ED0E}" name="WorksheetConnection_Data !$B$2:$G$50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DataB2G50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Range].[Month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<sst xmlns="http://schemas.openxmlformats.org/spreadsheetml/2006/main" count="146" uniqueCount="33">
  <si>
    <t>Date</t>
  </si>
  <si>
    <t>Category</t>
  </si>
  <si>
    <t>Payment Mode</t>
  </si>
  <si>
    <t>Amount</t>
  </si>
  <si>
    <t>Month</t>
  </si>
  <si>
    <t>Travel</t>
  </si>
  <si>
    <t>Food</t>
  </si>
  <si>
    <t>Rent</t>
  </si>
  <si>
    <t>Fun</t>
  </si>
  <si>
    <t>Study</t>
  </si>
  <si>
    <t>UPI</t>
  </si>
  <si>
    <t>Cash</t>
  </si>
  <si>
    <t>Card</t>
  </si>
  <si>
    <t>Month No</t>
  </si>
  <si>
    <t>Total spend</t>
  </si>
  <si>
    <t>Average spend</t>
  </si>
  <si>
    <t>Highest expense</t>
  </si>
  <si>
    <t>Lowest expense</t>
  </si>
  <si>
    <t>Transactions</t>
  </si>
  <si>
    <t>Total</t>
  </si>
  <si>
    <t>Count</t>
  </si>
  <si>
    <t>Average</t>
  </si>
  <si>
    <t>Status</t>
  </si>
  <si>
    <t>Budget</t>
  </si>
  <si>
    <t>Actual</t>
  </si>
  <si>
    <t>Difference</t>
  </si>
  <si>
    <t>Row Labels</t>
  </si>
  <si>
    <t>Grand Total</t>
  </si>
  <si>
    <t>Column Labels</t>
  </si>
  <si>
    <t>Sum of Amount</t>
  </si>
  <si>
    <t>All</t>
  </si>
  <si>
    <t>Expense Dashboard 2026</t>
  </si>
  <si>
    <t>Categories over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</si>
</sst>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9B95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4D4D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14" fontId="0" fillId="0" borderId="1" xfId="0" applyNumberFormat="1" applyBorder="1"/>
    <xf numFmtId="0" fontId="0" fillId="0" borderId="1" xfId="0" applyBorder="1"/>
    <xf numFmtId="0" fontId="0" fillId="0" borderId="0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 applyBorder="1"/>
    <xf numFmtId="0" fontId="3" fillId="3" borderId="1" xfId="0" applyFont="1" applyFill="1" applyBorder="1" applyAlignment="1">
      <alignment horizontal="center"/>
    </xf>
    <xf numFmtId="0" fontId="4" fillId="0" borderId="1" xfId="0" applyFont="1" applyBorder="1"/>
    <xf numFmtId="0" fontId="0" fillId="2" borderId="1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4" borderId="2" xfId="0" applyFill="1" applyBorder="1"/>
    <xf numFmtId="0" fontId="0" fillId="4" borderId="6" xfId="0" applyFill="1" applyBorder="1"/>
    <xf numFmtId="0" fontId="0" fillId="4" borderId="7" xfId="0" applyFill="1" applyBorder="1" applyAlignment="1">
      <alignment horizontal="center" vertic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[Expense_Tracker (PROJECT) xl.xlsx]Pivot!PivotTable6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Spend by Category &amp; Payment Mode</a:t>
            </a:r>
          </a:p>
        </c:rich>
      </c:tx>
      <c:layout>
        <c:manualLayout>
          <c:xMode val="edge"/>
          <c:yMode val="edge"/>
          <c:x val="0.18809375"/>
          <c:y val="0.24250173856473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square"/>
          <c:size val="6"/>
          <c:spPr>
            <a:solidFill>
              <a:schemeClr val="accent2"/>
            </a:solidFill>
            <a:ln w="952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triangle"/>
          <c:size val="6"/>
          <c:spPr>
            <a:solidFill>
              <a:schemeClr val="accent3"/>
            </a:solidFill>
            <a:ln w="9525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Pivot!$B$3:$B$4</c:f>
              <c:strCache>
                <c:ptCount val="1"/>
                <c:pt idx="0">
                  <c:v>Card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Pivot!$A$5:$A$10</c:f>
              <c:strCache>
                <c:ptCount val="5"/>
                <c:pt idx="0">
                  <c:v>Food</c:v>
                </c:pt>
                <c:pt idx="1">
                  <c:v>Fun</c:v>
                </c:pt>
                <c:pt idx="2">
                  <c:v>Rent</c:v>
                </c:pt>
                <c:pt idx="3">
                  <c:v>Study</c:v>
                </c:pt>
                <c:pt idx="4">
                  <c:v>Travel</c:v>
                </c:pt>
              </c:strCache>
            </c:strRef>
          </c:cat>
          <c:val>
            <c:numRef>
              <c:f>Pivot!$B$5:$B$10</c:f>
              <c:numCache>
                <c:formatCode>General</c:formatCode>
                <c:ptCount val="5"/>
                <c:pt idx="1">
                  <c:v>500</c:v>
                </c:pt>
                <c:pt idx="2">
                  <c:v>12000</c:v>
                </c:pt>
                <c:pt idx="3">
                  <c:v>1799</c:v>
                </c:pt>
                <c:pt idx="4">
                  <c:v>2150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71-46EA-877B-4FC91A9616AD}"/>
            </c:ext>
          </c:extLst>
        </c:ser>
        <c:ser>
          <c:idx val="1"/>
          <c:order val="1"/>
          <c:tx>
            <c:strRef>
              <c:f>Pivot!$C$3:$C$4</c:f>
              <c:strCache>
                <c:ptCount val="1"/>
                <c:pt idx="0">
                  <c:v>Cash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Pivot!$A$5:$A$10</c:f>
              <c:strCache>
                <c:ptCount val="5"/>
                <c:pt idx="0">
                  <c:v>Food</c:v>
                </c:pt>
                <c:pt idx="1">
                  <c:v>Fun</c:v>
                </c:pt>
                <c:pt idx="2">
                  <c:v>Rent</c:v>
                </c:pt>
                <c:pt idx="3">
                  <c:v>Study</c:v>
                </c:pt>
                <c:pt idx="4">
                  <c:v>Travel</c:v>
                </c:pt>
              </c:strCache>
            </c:strRef>
          </c:cat>
          <c:val>
            <c:numRef>
              <c:f>Pivot!$C$5:$C$10</c:f>
              <c:numCache>
                <c:formatCode>General</c:formatCode>
                <c:ptCount val="5"/>
                <c:pt idx="0">
                  <c:v>1160</c:v>
                </c:pt>
                <c:pt idx="1">
                  <c:v>250</c:v>
                </c:pt>
                <c:pt idx="2">
                  <c:v>10100</c:v>
                </c:pt>
                <c:pt idx="3">
                  <c:v>804</c:v>
                </c:pt>
                <c:pt idx="4">
                  <c:v>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71-46EA-877B-4FC91A9616AD}"/>
            </c:ext>
          </c:extLst>
        </c:ser>
        <c:ser>
          <c:idx val="2"/>
          <c:order val="2"/>
          <c:tx>
            <c:strRef>
              <c:f>Pivot!$D$3:$D$4</c:f>
              <c:strCache>
                <c:ptCount val="1"/>
                <c:pt idx="0">
                  <c:v>UPI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Pivot!$A$5:$A$10</c:f>
              <c:strCache>
                <c:ptCount val="5"/>
                <c:pt idx="0">
                  <c:v>Food</c:v>
                </c:pt>
                <c:pt idx="1">
                  <c:v>Fun</c:v>
                </c:pt>
                <c:pt idx="2">
                  <c:v>Rent</c:v>
                </c:pt>
                <c:pt idx="3">
                  <c:v>Study</c:v>
                </c:pt>
                <c:pt idx="4">
                  <c:v>Travel</c:v>
                </c:pt>
              </c:strCache>
            </c:strRef>
          </c:cat>
          <c:val>
            <c:numRef>
              <c:f>Pivot!$D$5:$D$10</c:f>
              <c:numCache>
                <c:formatCode>General</c:formatCode>
                <c:ptCount val="5"/>
                <c:pt idx="0">
                  <c:v>1060</c:v>
                </c:pt>
                <c:pt idx="1">
                  <c:v>780</c:v>
                </c:pt>
                <c:pt idx="2">
                  <c:v>16000</c:v>
                </c:pt>
                <c:pt idx="3">
                  <c:v>320</c:v>
                </c:pt>
                <c:pt idx="4">
                  <c:v>2710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71-46EA-877B-4FC91A9616A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890869248"/>
        <c:axId val="1890869728"/>
      </c:barChart>
      <c:catAx>
        <c:axId val="1890869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869728"/>
        <c:crosses val="autoZero"/>
        <c:auto val="1"/>
        <c:lblAlgn val="ctr"/>
        <c:lblOffset val="100"/>
        <c:noMultiLvlLbl val="0"/>
      </c:catAx>
      <c:valAx>
        <c:axId val="18908697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90869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Summary!$C$14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76C-4CEA-9492-81863D2DBEE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76C-4CEA-9492-81863D2DBEE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76C-4CEA-9492-81863D2DBEE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76C-4CEA-9492-81863D2DBEE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76C-4CEA-9492-81863D2DBEE6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Summary!$B$15:$B$19</c:f>
              <c:strCache>
                <c:ptCount val="5"/>
                <c:pt idx="0">
                  <c:v>Food</c:v>
                </c:pt>
                <c:pt idx="1">
                  <c:v>Travel</c:v>
                </c:pt>
                <c:pt idx="2">
                  <c:v>Rent</c:v>
                </c:pt>
                <c:pt idx="3">
                  <c:v>Study</c:v>
                </c:pt>
                <c:pt idx="4">
                  <c:v>Fun</c:v>
                </c:pt>
              </c:strCache>
            </c:strRef>
          </c:cat>
          <c:val>
            <c:numRef>
              <c:f>Summary!$C$15:$C$19</c:f>
              <c:numCache>
                <c:formatCode>General</c:formatCode>
                <c:ptCount val="5"/>
                <c:pt idx="0">
                  <c:v>2220</c:v>
                </c:pt>
                <c:pt idx="1">
                  <c:v>5670</c:v>
                </c:pt>
                <c:pt idx="2">
                  <c:v>38100</c:v>
                </c:pt>
                <c:pt idx="3">
                  <c:v>2923</c:v>
                </c:pt>
                <c:pt idx="4">
                  <c:v>1530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76C-4CEA-9492-81863D2DBEE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194733</xdr:colOff>
      <xdr:row>11</xdr:row>
      <xdr:rowOff>76201</xdr:rowOff>
    </xdr:from>
    <xdr:to>
      <xdr:col>12</xdr:col>
      <xdr:colOff>601133</xdr:colOff>
      <xdr:row>26</xdr:row>
      <xdr:rowOff>44451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F19F50-73E0-468B-9FD7-44263B2E21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486028</xdr:colOff>
      <xdr:row>11</xdr:row>
      <xdr:rowOff>67274</xdr:rowOff>
    </xdr:from>
    <xdr:to>
      <xdr:col>5</xdr:col>
      <xdr:colOff>1542010</xdr:colOff>
      <xdr:row>25</xdr:row>
      <xdr:rowOff>181340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645AE3-B78F-4A2A-8735-749C59281A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" refreshedDate="46323.649784606481" backgroundQuery="1" createdVersion="8" refreshedVersion="8" minRefreshableVersion="3" recordCount="0" supportSubquery="1" supportAdvancedDrill="1" xr:uid="{7BB79F36-83EA-4B23-B1FD-ED255C6E9962}">
  <cacheSource type="external" connectionId="1"/>
  <cacheFields count="4">
    <cacheField name="[Range].[Category].[Category]" caption="Category" numFmtId="0" hierarchy="1" level="1">
      <sharedItems count="5">
        <s v="Food"/>
        <s v="Fun"/>
        <s v="Rent"/>
        <s v="Study"/>
        <s v="Travel"/>
      </sharedItems>
    </cacheField>
    <cacheField name="[Range].[Payment Mode].[Payment Mode]" caption="Payment Mode" numFmtId="0" hierarchy="2" level="1">
      <sharedItems count="3">
        <s v="Card"/>
        <s v="Cash"/>
        <s v="UPI"/>
      </sharedItems>
    </cacheField>
    <cacheField name="[Measures].[Sum of Amount]" caption="Sum of Amount" numFmtId="0" hierarchy="8" level="32767"/>
    <cacheField name="[Range].[Month].[Month]" caption="Month" numFmtId="0" hierarchy="4" level="1">
      <sharedItems containsSemiMixedTypes="0" containsNonDate="0" containsString="0"/>
    </cacheField>
  </cacheFields>
  <cacheHierarchies count="9"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Category]" caption="Category" attribute="1" defaultMemberUniqueName="[Range].[Category].[All]" allUniqueName="[Range].[Categor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ayment Mode]" caption="Payment Mode" attribute="1" defaultMemberUniqueName="[Range].[Payment Mode].[All]" allUniqueName="[Range].[Payment Mode].[All]" dimensionUniqueName="[Range]" displayFolder="" count="2" memberValueDatatype="130" unbalanced="0">
      <fieldsUsage count="2">
        <fieldUsage x="-1"/>
        <fieldUsage x="1"/>
      </fieldsUsage>
    </cacheHierarchy>
    <cacheHierarchy uniqueName="[Range].[Amount]" caption="Amount" attribute="1" defaultMemberUniqueName="[Range].[Amount].[All]" allUniqueName="[Range].[Amount].[All]" dimensionUniqueName="[Range]" displayFolder="" count="0" memberValueDatatype="20" unbalanced="0"/>
    <cacheHierarchy uniqueName="[Range].[Month]" caption="Month" attribute="1" defaultMemberUniqueName="[Range].[Month].[All]" allUniqueName="[Range].[Month].[All]" dimensionUniqueName="[Range]" displayFolder="" count="2" memberValueDatatype="130" unbalanced="0">
      <fieldsUsage count="2">
        <fieldUsage x="-1"/>
        <fieldUsage x="3"/>
      </fieldsUsage>
    </cacheHierarchy>
    <cacheHierarchy uniqueName="[Range].[Month No]" caption="Month No" attribute="1" defaultMemberUniqueName="[Range].[Month No].[All]" allUniqueName="[Range].[Month No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Amount]" caption="Sum of Amount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492F63-5DCC-47EC-B4FD-20E6C7D6EF74}" name="PivotTable6" cacheId="48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8">
  <location ref="A3:E10" firstHeaderRow="1" firstDataRow="2" firstDataCol="1" rowPageCount="1" colPageCount="1"/>
  <pivotFields count="4">
    <pivotField axis="axisRow" allDrilled="1" showAll="0" dataSourceSort="1" defaultAttributeDrillState="1">
      <items count="6">
        <item x="0"/>
        <item x="1"/>
        <item x="2"/>
        <item x="3"/>
        <item x="4"/>
        <item t="default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pageFields count="1">
    <pageField fld="3" hier="4" name="[Range].[Month].[All]" cap="All"/>
  </pageFields>
  <dataFields count="1">
    <dataField name="Sum of Amount" fld="2" baseField="0" baseItem="0"/>
  </dataFields>
  <chartFormats count="3"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1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Hierarchies count="9"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 !$B$2:$G$50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299A7-83B6-4B36-8CFC-61EBB701C048}">
  <dimension ref="B2:G50"/>
  <sheetViews>
    <sheetView topLeftCell="B1" zoomScale="112" zoomScaleNormal="43" workbookViewId="0">
      <selection activeCell="E36" sqref="E36"/>
    </sheetView>
  </sheetViews>
  <sheetFormatPr defaultRowHeight="14.5" x14ac:dyDescent="0.35"/>
  <cols>
    <col min="2" max="2" width="10.54296875" customWidth="1"/>
    <col min="3" max="3" width="12.54296875" customWidth="1"/>
    <col min="4" max="4" width="13.54296875" customWidth="1"/>
    <col min="5" max="5" width="12.6328125" customWidth="1"/>
    <col min="6" max="6" width="10.6328125" customWidth="1"/>
    <col min="7" max="8" width="8.7265625" customWidth="1"/>
    <col min="11" max="11" width="20.36328125" bestFit="1" customWidth="1"/>
  </cols>
  <sheetData>
    <row r="2" spans="2:7" x14ac:dyDescent="0.3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13</v>
      </c>
    </row>
    <row r="3" spans="2:7" x14ac:dyDescent="0.35">
      <c r="B3" s="2">
        <v>46259</v>
      </c>
      <c r="C3" s="3" t="s">
        <v>5</v>
      </c>
      <c r="D3" s="3" t="s">
        <v>10</v>
      </c>
      <c r="E3" s="3">
        <v>1200</v>
      </c>
      <c r="F3" s="3" t="str">
        <f>TEXT(B3,"MMM")</f>
        <v>Aug</v>
      </c>
      <c r="G3" s="3">
        <f>MONTH(B3)</f>
        <v>8</v>
      </c>
    </row>
    <row r="4" spans="2:7" x14ac:dyDescent="0.35">
      <c r="B4" s="2">
        <v>46120</v>
      </c>
      <c r="C4" s="3" t="s">
        <v>6</v>
      </c>
      <c r="D4" s="3" t="s">
        <v>10</v>
      </c>
      <c r="E4" s="3">
        <v>420</v>
      </c>
      <c r="F4" s="3" t="str">
        <f>TEXT(B4,"MMM")</f>
        <v>Apr</v>
      </c>
      <c r="G4" s="3">
        <f>MONTH(B4)</f>
        <v>4</v>
      </c>
    </row>
    <row r="5" spans="2:7" x14ac:dyDescent="0.35">
      <c r="B5" s="2">
        <v>46106</v>
      </c>
      <c r="C5" s="3" t="s">
        <v>7</v>
      </c>
      <c r="D5" s="3" t="s">
        <v>12</v>
      </c>
      <c r="E5" s="3">
        <v>6000</v>
      </c>
      <c r="F5" s="3" t="str">
        <f>TEXT(B5,"MMM")</f>
        <v>Mar</v>
      </c>
      <c r="G5" s="3">
        <f>MONTH(B5)</f>
        <v>3</v>
      </c>
    </row>
    <row r="6" spans="2:7" x14ac:dyDescent="0.35">
      <c r="B6" s="2">
        <v>46163</v>
      </c>
      <c r="C6" s="3" t="s">
        <v>8</v>
      </c>
      <c r="D6" s="3" t="s">
        <v>10</v>
      </c>
      <c r="E6" s="3">
        <v>280</v>
      </c>
      <c r="F6" s="3" t="str">
        <f>TEXT(B6,"MMM")</f>
        <v>May</v>
      </c>
      <c r="G6" s="3">
        <f>MONTH(B6)</f>
        <v>5</v>
      </c>
    </row>
    <row r="7" spans="2:7" x14ac:dyDescent="0.35">
      <c r="B7" s="2">
        <v>46287</v>
      </c>
      <c r="C7" s="3" t="s">
        <v>5</v>
      </c>
      <c r="D7" s="3" t="s">
        <v>11</v>
      </c>
      <c r="E7" s="3">
        <v>70</v>
      </c>
      <c r="F7" s="3" t="str">
        <f>TEXT(B7,"MMM")</f>
        <v>Sep</v>
      </c>
      <c r="G7" s="3">
        <f>MONTH(B7)</f>
        <v>9</v>
      </c>
    </row>
    <row r="8" spans="2:7" x14ac:dyDescent="0.35">
      <c r="B8" s="2">
        <v>46284</v>
      </c>
      <c r="C8" s="3" t="s">
        <v>9</v>
      </c>
      <c r="D8" s="3" t="s">
        <v>12</v>
      </c>
      <c r="E8" s="3">
        <v>500</v>
      </c>
      <c r="F8" s="3" t="str">
        <f>TEXT(B8,"MMM")</f>
        <v>Sep</v>
      </c>
      <c r="G8" s="3">
        <f>MONTH(B8)</f>
        <v>9</v>
      </c>
    </row>
    <row r="9" spans="2:7" x14ac:dyDescent="0.35">
      <c r="B9" s="2">
        <v>46288</v>
      </c>
      <c r="C9" s="3" t="s">
        <v>5</v>
      </c>
      <c r="D9" s="3" t="s">
        <v>11</v>
      </c>
      <c r="E9" s="3">
        <v>70</v>
      </c>
      <c r="F9" s="3" t="str">
        <f>TEXT(B9,"MMM")</f>
        <v>Sep</v>
      </c>
      <c r="G9" s="3">
        <f>MONTH(B9)</f>
        <v>9</v>
      </c>
    </row>
    <row r="10" spans="2:7" x14ac:dyDescent="0.35">
      <c r="B10" s="2">
        <v>46098</v>
      </c>
      <c r="C10" s="3" t="s">
        <v>7</v>
      </c>
      <c r="D10" s="3" t="s">
        <v>11</v>
      </c>
      <c r="E10" s="3">
        <v>3600</v>
      </c>
      <c r="F10" s="3" t="str">
        <f>TEXT(B10,"MMM")</f>
        <v>Mar</v>
      </c>
      <c r="G10" s="3">
        <f>MONTH(B10)</f>
        <v>3</v>
      </c>
    </row>
    <row r="11" spans="2:7" x14ac:dyDescent="0.35">
      <c r="B11" s="2">
        <v>46079</v>
      </c>
      <c r="C11" s="3" t="s">
        <v>7</v>
      </c>
      <c r="D11" s="3" t="s">
        <v>12</v>
      </c>
      <c r="E11" s="3">
        <v>3000</v>
      </c>
      <c r="F11" s="3" t="str">
        <f>TEXT(B11,"MMM")</f>
        <v>Feb</v>
      </c>
      <c r="G11" s="3">
        <f>MONTH(B11)</f>
        <v>2</v>
      </c>
    </row>
    <row r="12" spans="2:7" x14ac:dyDescent="0.35">
      <c r="B12" s="2">
        <v>46198</v>
      </c>
      <c r="C12" s="3" t="s">
        <v>6</v>
      </c>
      <c r="D12" s="3" t="s">
        <v>10</v>
      </c>
      <c r="E12" s="3">
        <v>120</v>
      </c>
      <c r="F12" s="3" t="str">
        <f>TEXT(B12,"MMM")</f>
        <v>Jun</v>
      </c>
      <c r="G12" s="3">
        <f>MONTH(B12)</f>
        <v>6</v>
      </c>
    </row>
    <row r="13" spans="2:7" x14ac:dyDescent="0.35">
      <c r="B13" s="2">
        <v>46285</v>
      </c>
      <c r="C13" s="3" t="s">
        <v>9</v>
      </c>
      <c r="D13" s="3" t="s">
        <v>11</v>
      </c>
      <c r="E13" s="3">
        <v>160</v>
      </c>
      <c r="F13" s="3" t="str">
        <f>TEXT(B13,"MMM")</f>
        <v>Sep</v>
      </c>
      <c r="G13" s="3">
        <f>MONTH(B13)</f>
        <v>9</v>
      </c>
    </row>
    <row r="14" spans="2:7" x14ac:dyDescent="0.35">
      <c r="B14" s="2">
        <v>46241</v>
      </c>
      <c r="C14" s="3" t="s">
        <v>5</v>
      </c>
      <c r="D14" s="3" t="s">
        <v>10</v>
      </c>
      <c r="E14" s="3">
        <v>60</v>
      </c>
      <c r="F14" s="3" t="str">
        <f>TEXT(B14,"MMM")</f>
        <v>Aug</v>
      </c>
      <c r="G14" s="3">
        <f>MONTH(B14)</f>
        <v>8</v>
      </c>
    </row>
    <row r="15" spans="2:7" x14ac:dyDescent="0.35">
      <c r="B15" s="2">
        <v>46311</v>
      </c>
      <c r="C15" s="3" t="s">
        <v>6</v>
      </c>
      <c r="D15" s="3" t="s">
        <v>10</v>
      </c>
      <c r="E15" s="3">
        <v>80</v>
      </c>
      <c r="F15" s="3" t="str">
        <f>TEXT(B15,"MMM")</f>
        <v>Oct</v>
      </c>
      <c r="G15" s="3">
        <f>MONTH(B15)</f>
        <v>10</v>
      </c>
    </row>
    <row r="16" spans="2:7" x14ac:dyDescent="0.35">
      <c r="B16" s="2">
        <v>46271</v>
      </c>
      <c r="C16" s="3" t="s">
        <v>8</v>
      </c>
      <c r="D16" s="3" t="s">
        <v>11</v>
      </c>
      <c r="E16" s="3">
        <v>250</v>
      </c>
      <c r="F16" s="3" t="str">
        <f>TEXT(B16,"MMM")</f>
        <v>Sep</v>
      </c>
      <c r="G16" s="3">
        <f>MONTH(B16)</f>
        <v>9</v>
      </c>
    </row>
    <row r="17" spans="2:7" x14ac:dyDescent="0.35">
      <c r="B17" s="2">
        <v>46115</v>
      </c>
      <c r="C17" s="3" t="s">
        <v>7</v>
      </c>
      <c r="D17" s="3" t="s">
        <v>10</v>
      </c>
      <c r="E17" s="3">
        <v>5000</v>
      </c>
      <c r="F17" s="3" t="str">
        <f>TEXT(B17,"MMM")</f>
        <v>Apr</v>
      </c>
      <c r="G17" s="3">
        <f>MONTH(B17)</f>
        <v>4</v>
      </c>
    </row>
    <row r="18" spans="2:7" x14ac:dyDescent="0.35">
      <c r="B18" s="2">
        <v>46115</v>
      </c>
      <c r="C18" s="3" t="s">
        <v>5</v>
      </c>
      <c r="D18" s="3" t="s">
        <v>12</v>
      </c>
      <c r="E18" s="3">
        <v>600</v>
      </c>
      <c r="F18" s="3" t="str">
        <f>TEXT(B18,"MMM")</f>
        <v>Apr</v>
      </c>
      <c r="G18" s="3">
        <f>MONTH(B18)</f>
        <v>4</v>
      </c>
    </row>
    <row r="19" spans="2:7" x14ac:dyDescent="0.35">
      <c r="B19" s="2">
        <v>46150</v>
      </c>
      <c r="C19" s="3" t="s">
        <v>9</v>
      </c>
      <c r="D19" s="3" t="s">
        <v>11</v>
      </c>
      <c r="E19" s="3">
        <v>200</v>
      </c>
      <c r="F19" s="3" t="str">
        <f>TEXT(B19,"MMM")</f>
        <v>May</v>
      </c>
      <c r="G19" s="3">
        <f>MONTH(B19)</f>
        <v>5</v>
      </c>
    </row>
    <row r="20" spans="2:7" x14ac:dyDescent="0.35">
      <c r="B20" s="2">
        <v>46081</v>
      </c>
      <c r="C20" s="3" t="s">
        <v>7</v>
      </c>
      <c r="D20" s="3" t="s">
        <v>11</v>
      </c>
      <c r="E20" s="3">
        <v>3500</v>
      </c>
      <c r="F20" s="3" t="str">
        <f>TEXT(B20,"MMM")</f>
        <v>Feb</v>
      </c>
      <c r="G20" s="3">
        <f>MONTH(B20)</f>
        <v>2</v>
      </c>
    </row>
    <row r="21" spans="2:7" x14ac:dyDescent="0.35">
      <c r="B21" s="2">
        <v>46295</v>
      </c>
      <c r="C21" s="3" t="s">
        <v>5</v>
      </c>
      <c r="D21" s="3" t="s">
        <v>12</v>
      </c>
      <c r="E21" s="3">
        <v>650</v>
      </c>
      <c r="F21" s="3" t="str">
        <f>TEXT(B21,"MMM")</f>
        <v>Sep</v>
      </c>
      <c r="G21" s="3">
        <f>MONTH(B21)</f>
        <v>9</v>
      </c>
    </row>
    <row r="22" spans="2:7" x14ac:dyDescent="0.35">
      <c r="B22" s="2">
        <v>46051</v>
      </c>
      <c r="C22" s="3" t="s">
        <v>9</v>
      </c>
      <c r="D22" s="3" t="s">
        <v>10</v>
      </c>
      <c r="E22" s="3">
        <v>170</v>
      </c>
      <c r="F22" s="3" t="str">
        <f>TEXT(B22,"MMM")</f>
        <v>Jan</v>
      </c>
      <c r="G22" s="3">
        <f>MONTH(B22)</f>
        <v>1</v>
      </c>
    </row>
    <row r="23" spans="2:7" x14ac:dyDescent="0.35">
      <c r="B23" s="2">
        <v>46104</v>
      </c>
      <c r="C23" s="3" t="s">
        <v>8</v>
      </c>
      <c r="D23" s="3" t="s">
        <v>10</v>
      </c>
      <c r="E23" s="3">
        <v>280</v>
      </c>
      <c r="F23" s="3" t="str">
        <f>TEXT(B23,"MMM")</f>
        <v>Mar</v>
      </c>
      <c r="G23" s="3">
        <f>MONTH(B23)</f>
        <v>3</v>
      </c>
    </row>
    <row r="24" spans="2:7" x14ac:dyDescent="0.35">
      <c r="B24" s="2">
        <v>46088</v>
      </c>
      <c r="C24" s="3" t="s">
        <v>6</v>
      </c>
      <c r="D24" s="3" t="s">
        <v>10</v>
      </c>
      <c r="E24" s="3">
        <v>180</v>
      </c>
      <c r="F24" s="3" t="str">
        <f>TEXT(B24,"MMM")</f>
        <v>Mar</v>
      </c>
      <c r="G24" s="3">
        <f>MONTH(B24)</f>
        <v>3</v>
      </c>
    </row>
    <row r="25" spans="2:7" x14ac:dyDescent="0.35">
      <c r="B25" s="2">
        <v>46267</v>
      </c>
      <c r="C25" s="3" t="s">
        <v>9</v>
      </c>
      <c r="D25" s="3" t="s">
        <v>11</v>
      </c>
      <c r="E25" s="3">
        <v>80</v>
      </c>
      <c r="F25" s="3" t="str">
        <f>TEXT(B25,"MMM")</f>
        <v>Sep</v>
      </c>
      <c r="G25" s="3">
        <f>MONTH(B25)</f>
        <v>9</v>
      </c>
    </row>
    <row r="26" spans="2:7" x14ac:dyDescent="0.35">
      <c r="B26" s="2">
        <v>46104</v>
      </c>
      <c r="C26" s="3" t="s">
        <v>7</v>
      </c>
      <c r="D26" s="3" t="s">
        <v>12</v>
      </c>
      <c r="E26" s="3">
        <v>3000</v>
      </c>
      <c r="F26" s="3" t="str">
        <f>TEXT(B26,"MMM")</f>
        <v>Mar</v>
      </c>
      <c r="G26" s="3">
        <f>MONTH(B26)</f>
        <v>3</v>
      </c>
    </row>
    <row r="27" spans="2:7" x14ac:dyDescent="0.35">
      <c r="B27" s="2">
        <v>46226</v>
      </c>
      <c r="C27" s="3" t="s">
        <v>5</v>
      </c>
      <c r="D27" s="3" t="s">
        <v>10</v>
      </c>
      <c r="E27" s="3">
        <v>70</v>
      </c>
      <c r="F27" s="3" t="str">
        <f>TEXT(B27,"MMM")</f>
        <v>Jul</v>
      </c>
      <c r="G27" s="3">
        <f>MONTH(B27)</f>
        <v>7</v>
      </c>
    </row>
    <row r="28" spans="2:7" x14ac:dyDescent="0.35">
      <c r="B28" s="2">
        <v>46036</v>
      </c>
      <c r="C28" s="3" t="s">
        <v>6</v>
      </c>
      <c r="D28" s="3" t="s">
        <v>11</v>
      </c>
      <c r="E28" s="3">
        <v>160</v>
      </c>
      <c r="F28" s="3" t="str">
        <f>TEXT(B28,"MMM")</f>
        <v>Jan</v>
      </c>
      <c r="G28" s="3">
        <f>MONTH(B28)</f>
        <v>1</v>
      </c>
    </row>
    <row r="29" spans="2:7" x14ac:dyDescent="0.35">
      <c r="B29" s="2">
        <v>46157</v>
      </c>
      <c r="C29" s="3" t="s">
        <v>9</v>
      </c>
      <c r="D29" s="3" t="s">
        <v>11</v>
      </c>
      <c r="E29" s="3">
        <v>75</v>
      </c>
      <c r="F29" s="3" t="str">
        <f>TEXT(B29,"MMM")</f>
        <v>May</v>
      </c>
      <c r="G29" s="3">
        <f>MONTH(B29)</f>
        <v>5</v>
      </c>
    </row>
    <row r="30" spans="2:7" x14ac:dyDescent="0.35">
      <c r="B30" s="2">
        <v>46095</v>
      </c>
      <c r="C30" s="3" t="s">
        <v>5</v>
      </c>
      <c r="D30" s="3" t="s">
        <v>10</v>
      </c>
      <c r="E30" s="3">
        <v>100</v>
      </c>
      <c r="F30" s="3" t="str">
        <f>TEXT(B30,"MMM")</f>
        <v>Mar</v>
      </c>
      <c r="G30" s="3">
        <f>MONTH(B30)</f>
        <v>3</v>
      </c>
    </row>
    <row r="31" spans="2:7" x14ac:dyDescent="0.35">
      <c r="B31" s="2">
        <v>46127</v>
      </c>
      <c r="C31" s="3" t="s">
        <v>7</v>
      </c>
      <c r="D31" s="3" t="s">
        <v>11</v>
      </c>
      <c r="E31" s="3">
        <v>3000</v>
      </c>
      <c r="F31" s="3" t="str">
        <f>TEXT(B31,"MMM")</f>
        <v>Apr</v>
      </c>
      <c r="G31" s="3">
        <f>MONTH(B31)</f>
        <v>4</v>
      </c>
    </row>
    <row r="32" spans="2:7" x14ac:dyDescent="0.35">
      <c r="B32" s="2">
        <v>46098</v>
      </c>
      <c r="C32" s="3" t="s">
        <v>5</v>
      </c>
      <c r="D32" s="3" t="s">
        <v>11</v>
      </c>
      <c r="E32" s="3">
        <v>50</v>
      </c>
      <c r="F32" s="3" t="str">
        <f>TEXT(B32,"MMM")</f>
        <v>Mar</v>
      </c>
      <c r="G32" s="3">
        <f>MONTH(B32)</f>
        <v>3</v>
      </c>
    </row>
    <row r="33" spans="2:7" x14ac:dyDescent="0.35">
      <c r="B33" s="2">
        <v>46216</v>
      </c>
      <c r="C33" s="3" t="s">
        <v>6</v>
      </c>
      <c r="D33" s="3" t="s">
        <v>10</v>
      </c>
      <c r="E33" s="3">
        <v>140</v>
      </c>
      <c r="F33" s="3" t="str">
        <f>TEXT(B33,"MMM")</f>
        <v>Jul</v>
      </c>
      <c r="G33" s="3">
        <f>MONTH(B33)</f>
        <v>7</v>
      </c>
    </row>
    <row r="34" spans="2:7" x14ac:dyDescent="0.35">
      <c r="B34" s="2">
        <v>46264</v>
      </c>
      <c r="C34" s="3" t="s">
        <v>7</v>
      </c>
      <c r="D34" s="3" t="s">
        <v>10</v>
      </c>
      <c r="E34" s="3">
        <v>4000</v>
      </c>
      <c r="F34" s="3" t="str">
        <f>TEXT(B34,"MMM")</f>
        <v>Aug</v>
      </c>
      <c r="G34" s="3">
        <f>MONTH(B34)</f>
        <v>8</v>
      </c>
    </row>
    <row r="35" spans="2:7" x14ac:dyDescent="0.35">
      <c r="B35" s="2">
        <v>46164</v>
      </c>
      <c r="C35" s="3" t="s">
        <v>5</v>
      </c>
      <c r="D35" s="3" t="s">
        <v>12</v>
      </c>
      <c r="E35" s="3">
        <v>900</v>
      </c>
      <c r="F35" s="3" t="str">
        <f>TEXT(B35,"MMM")</f>
        <v>May</v>
      </c>
      <c r="G35" s="3">
        <f>MONTH(B35)</f>
        <v>5</v>
      </c>
    </row>
    <row r="36" spans="2:7" x14ac:dyDescent="0.35">
      <c r="B36" s="2">
        <v>46138</v>
      </c>
      <c r="C36" s="3" t="s">
        <v>6</v>
      </c>
      <c r="D36" s="3" t="s">
        <v>11</v>
      </c>
      <c r="E36" s="3">
        <v>300</v>
      </c>
      <c r="F36" s="3" t="str">
        <f>TEXT(B36,"MMM")</f>
        <v>Apr</v>
      </c>
      <c r="G36" s="3">
        <f>MONTH(B36)</f>
        <v>4</v>
      </c>
    </row>
    <row r="37" spans="2:7" x14ac:dyDescent="0.35">
      <c r="B37" s="2">
        <v>46135</v>
      </c>
      <c r="C37" s="3" t="s">
        <v>9</v>
      </c>
      <c r="D37" s="3" t="s">
        <v>10</v>
      </c>
      <c r="E37" s="3">
        <v>150</v>
      </c>
      <c r="F37" s="3" t="str">
        <f>TEXT(B37,"MMM")</f>
        <v>Apr</v>
      </c>
      <c r="G37" s="3">
        <f>MONTH(B37)</f>
        <v>4</v>
      </c>
    </row>
    <row r="38" spans="2:7" x14ac:dyDescent="0.35">
      <c r="B38" s="2">
        <v>46211</v>
      </c>
      <c r="C38" s="3" t="s">
        <v>8</v>
      </c>
      <c r="D38" s="3" t="s">
        <v>10</v>
      </c>
      <c r="E38" s="3">
        <v>220</v>
      </c>
      <c r="F38" s="3" t="str">
        <f>TEXT(B38,"MMM")</f>
        <v>Jul</v>
      </c>
      <c r="G38" s="3">
        <f>MONTH(B38)</f>
        <v>7</v>
      </c>
    </row>
    <row r="39" spans="2:7" x14ac:dyDescent="0.35">
      <c r="B39" s="2">
        <v>46251</v>
      </c>
      <c r="C39" s="3" t="s">
        <v>5</v>
      </c>
      <c r="D39" s="3" t="s">
        <v>11</v>
      </c>
      <c r="E39" s="3">
        <v>620</v>
      </c>
      <c r="F39" s="3" t="str">
        <f>TEXT(B39,"MMM")</f>
        <v>Aug</v>
      </c>
      <c r="G39" s="3">
        <f>MONTH(B39)</f>
        <v>8</v>
      </c>
    </row>
    <row r="40" spans="2:7" x14ac:dyDescent="0.35">
      <c r="B40" s="2">
        <v>46229</v>
      </c>
      <c r="C40" s="3" t="s">
        <v>6</v>
      </c>
      <c r="D40" s="3" t="s">
        <v>11</v>
      </c>
      <c r="E40" s="3">
        <v>250</v>
      </c>
      <c r="F40" s="3" t="str">
        <f>TEXT(B40,"MMM")</f>
        <v>Jul</v>
      </c>
      <c r="G40" s="3">
        <f>MONTH(B40)</f>
        <v>7</v>
      </c>
    </row>
    <row r="41" spans="2:7" x14ac:dyDescent="0.35">
      <c r="B41" s="2">
        <v>46063</v>
      </c>
      <c r="C41" s="3" t="s">
        <v>9</v>
      </c>
      <c r="D41" s="3" t="s">
        <v>11</v>
      </c>
      <c r="E41" s="3">
        <v>79</v>
      </c>
      <c r="F41" s="3" t="str">
        <f>TEXT(B41,"MMM")</f>
        <v>Feb</v>
      </c>
      <c r="G41" s="3">
        <f>MONTH(B41)</f>
        <v>2</v>
      </c>
    </row>
    <row r="42" spans="2:7" x14ac:dyDescent="0.35">
      <c r="B42" s="2">
        <v>46183</v>
      </c>
      <c r="C42" s="3" t="s">
        <v>6</v>
      </c>
      <c r="D42" s="3" t="s">
        <v>10</v>
      </c>
      <c r="E42" s="3">
        <v>120</v>
      </c>
      <c r="F42" s="3" t="str">
        <f>TEXT(B42,"MMM")</f>
        <v>Jun</v>
      </c>
      <c r="G42" s="3">
        <f>MONTH(B42)</f>
        <v>6</v>
      </c>
    </row>
    <row r="43" spans="2:7" x14ac:dyDescent="0.35">
      <c r="B43" s="2">
        <v>46157</v>
      </c>
      <c r="C43" s="3" t="s">
        <v>9</v>
      </c>
      <c r="D43" s="3" t="s">
        <v>12</v>
      </c>
      <c r="E43" s="3">
        <v>700</v>
      </c>
      <c r="F43" s="3" t="str">
        <f>TEXT(B43,"MMM")</f>
        <v>May</v>
      </c>
      <c r="G43" s="3">
        <f>MONTH(B43)</f>
        <v>5</v>
      </c>
    </row>
    <row r="44" spans="2:7" x14ac:dyDescent="0.35">
      <c r="B44" s="2">
        <v>46128</v>
      </c>
      <c r="C44" s="3" t="s">
        <v>7</v>
      </c>
      <c r="D44" s="3" t="s">
        <v>10</v>
      </c>
      <c r="E44" s="3">
        <v>4000</v>
      </c>
      <c r="F44" s="3" t="str">
        <f>TEXT(B44,"MMM")</f>
        <v>Apr</v>
      </c>
      <c r="G44" s="3">
        <f>MONTH(B44)</f>
        <v>4</v>
      </c>
    </row>
    <row r="45" spans="2:7" x14ac:dyDescent="0.35">
      <c r="B45" s="2">
        <v>46322</v>
      </c>
      <c r="C45" s="3" t="s">
        <v>9</v>
      </c>
      <c r="D45" s="3" t="s">
        <v>11</v>
      </c>
      <c r="E45" s="3">
        <v>210</v>
      </c>
      <c r="F45" s="3" t="str">
        <f>TEXT(B45,"MMM")</f>
        <v>Oct</v>
      </c>
      <c r="G45" s="3">
        <f>MONTH(B45)</f>
        <v>10</v>
      </c>
    </row>
    <row r="46" spans="2:7" x14ac:dyDescent="0.35">
      <c r="B46" s="2">
        <v>46149</v>
      </c>
      <c r="C46" s="3" t="s">
        <v>7</v>
      </c>
      <c r="D46" s="3" t="s">
        <v>10</v>
      </c>
      <c r="E46" s="3">
        <v>3000</v>
      </c>
      <c r="F46" s="3" t="str">
        <f>TEXT(B46,"MMM")</f>
        <v>May</v>
      </c>
      <c r="G46" s="3">
        <f>MONTH(B46)</f>
        <v>5</v>
      </c>
    </row>
    <row r="47" spans="2:7" x14ac:dyDescent="0.35">
      <c r="B47" s="2">
        <v>46117</v>
      </c>
      <c r="C47" s="3" t="s">
        <v>9</v>
      </c>
      <c r="D47" s="3" t="s">
        <v>12</v>
      </c>
      <c r="E47" s="3">
        <v>599</v>
      </c>
      <c r="F47" s="3" t="str">
        <f>TEXT(B47,"MMM")</f>
        <v>Apr</v>
      </c>
      <c r="G47" s="3">
        <f>MONTH(B47)</f>
        <v>4</v>
      </c>
    </row>
    <row r="48" spans="2:7" x14ac:dyDescent="0.35">
      <c r="B48" s="2">
        <v>46088</v>
      </c>
      <c r="C48" s="3" t="s">
        <v>6</v>
      </c>
      <c r="D48" s="3" t="s">
        <v>11</v>
      </c>
      <c r="E48" s="3">
        <v>450</v>
      </c>
      <c r="F48" s="3" t="str">
        <f>TEXT(B48,"MMM")</f>
        <v>Mar</v>
      </c>
      <c r="G48" s="3">
        <f>MONTH(B48)</f>
        <v>3</v>
      </c>
    </row>
    <row r="49" spans="2:7" x14ac:dyDescent="0.35">
      <c r="B49" s="2">
        <v>46290</v>
      </c>
      <c r="C49" s="3" t="s">
        <v>8</v>
      </c>
      <c r="D49" s="3" t="s">
        <v>12</v>
      </c>
      <c r="E49" s="3">
        <v>500</v>
      </c>
      <c r="F49" s="3" t="str">
        <f>TEXT(B49,"MMM")</f>
        <v>Sep</v>
      </c>
      <c r="G49" s="3">
        <f>MONTH(B49)</f>
        <v>9</v>
      </c>
    </row>
    <row r="50" spans="2:7" x14ac:dyDescent="0.35">
      <c r="B50" s="2">
        <v>46147</v>
      </c>
      <c r="C50" s="3" t="s">
        <v>5</v>
      </c>
      <c r="D50" s="3" t="s">
        <v>10</v>
      </c>
      <c r="E50" s="3">
        <v>1280</v>
      </c>
      <c r="F50" s="3" t="str">
        <f>TEXT(B50,"MMM")</f>
        <v>May</v>
      </c>
      <c r="G50" s="3">
        <f>MONTH(B50)</f>
        <v>5</v>
      </c>
    </row>
  </sheetData>
  <autoFilter ref="B2:G50" xr:uid="{7BB299A7-83B6-4B36-8CFC-61EBB701C048}"/>
  <dataValidations count="5">
    <dataValidation type="list" allowBlank="1" showInputMessage="1" showErrorMessage="1" sqref="C3:C50" xr:uid="{217D84B8-17EB-400A-AE20-D8414BE416BB}">
      <formula1>"Travel,Food,Rent,Fun,Study"</formula1>
    </dataValidation>
    <dataValidation type="list" allowBlank="1" showInputMessage="1" showErrorMessage="1" sqref="D3:D50" xr:uid="{4296677E-6EDB-4A77-8FF2-894FA4D4EAE3}">
      <formula1>"UPI,Cash,Card"</formula1>
    </dataValidation>
    <dataValidation type="decimal" operator="greaterThan" allowBlank="1" showInputMessage="1" showErrorMessage="1" sqref="E3:E50" xr:uid="{D00E5827-E2B4-41C6-88A3-2639D0DEDB0E}">
      <formula1>0</formula1>
    </dataValidation>
    <dataValidation type="date" allowBlank="1" showInputMessage="1" showErrorMessage="1" sqref="B3:B50" xr:uid="{001296FF-BB48-4643-94C9-F49BC5C4F16C}">
      <formula1>46023</formula1>
      <formula2>46687</formula2>
    </dataValidation>
    <dataValidation type="whole" allowBlank="1" showInputMessage="1" showErrorMessage="1" sqref="G3:G50" xr:uid="{59C72742-2802-43A9-9E78-3AF8D339984A}">
      <formula1>1</formula1>
      <formula2>10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41AED-C6C9-4854-A2F2-2F43E5DC815B}">
  <dimension ref="B2:E19"/>
  <sheetViews>
    <sheetView topLeftCell="A3" workbookViewId="0">
      <selection activeCell="I6" sqref="I6"/>
    </sheetView>
  </sheetViews>
  <sheetFormatPr defaultRowHeight="14.5" x14ac:dyDescent="0.35"/>
  <cols>
    <col min="2" max="2" width="14.26953125" customWidth="1"/>
    <col min="3" max="3" width="12.54296875" customWidth="1"/>
    <col min="4" max="4" width="14.08984375" customWidth="1"/>
    <col min="5" max="5" width="13.26953125" customWidth="1"/>
    <col min="6" max="6" width="11.26953125" customWidth="1"/>
  </cols>
  <sheetData>
    <row r="2" spans="2:5" ht="15" thickBot="1" x14ac:dyDescent="0.4"/>
    <row r="3" spans="2:5" ht="15" thickBot="1" x14ac:dyDescent="0.4">
      <c r="B3" s="15" t="s">
        <v>14</v>
      </c>
      <c r="C3" s="13">
        <f>SUM('Data '!E3:E50)</f>
        <v>50443</v>
      </c>
    </row>
    <row r="4" spans="2:5" ht="15" thickBot="1" x14ac:dyDescent="0.4">
      <c r="C4" s="4"/>
    </row>
    <row r="5" spans="2:5" ht="15" thickBot="1" x14ac:dyDescent="0.4">
      <c r="B5" s="15" t="s">
        <v>15</v>
      </c>
      <c r="C5" s="13">
        <f>AVERAGE('Data '!E3:E50)</f>
        <v>1050.8958333333333</v>
      </c>
    </row>
    <row r="6" spans="2:5" ht="15" thickBot="1" x14ac:dyDescent="0.4">
      <c r="C6" s="4"/>
    </row>
    <row r="7" spans="2:5" ht="15" thickBot="1" x14ac:dyDescent="0.4">
      <c r="B7" s="15" t="s">
        <v>16</v>
      </c>
      <c r="C7" s="13">
        <f>MAX('Data '!E3:E50)</f>
        <v>6000</v>
      </c>
    </row>
    <row r="8" spans="2:5" ht="15" thickBot="1" x14ac:dyDescent="0.4">
      <c r="C8" s="4"/>
    </row>
    <row r="9" spans="2:5" ht="15" thickBot="1" x14ac:dyDescent="0.4">
      <c r="B9" s="15" t="s">
        <v>17</v>
      </c>
      <c r="C9" s="13">
        <f>MIN('Data '!E3:E50)</f>
        <v>50</v>
      </c>
    </row>
    <row r="10" spans="2:5" ht="15" thickBot="1" x14ac:dyDescent="0.4">
      <c r="C10" s="4"/>
    </row>
    <row r="11" spans="2:5" ht="15" thickBot="1" x14ac:dyDescent="0.4">
      <c r="B11" s="15" t="s">
        <v>18</v>
      </c>
      <c r="C11" s="12">
        <f>COUNT('Data '!E3:E50)</f>
        <v>48</v>
      </c>
    </row>
    <row r="13" spans="2:5" ht="15" thickBot="1" x14ac:dyDescent="0.4"/>
    <row r="14" spans="2:5" ht="15" thickBot="1" x14ac:dyDescent="0.4">
      <c r="B14" s="16" t="s">
        <v>1</v>
      </c>
      <c r="C14" s="17" t="s">
        <v>19</v>
      </c>
      <c r="D14" s="18" t="s">
        <v>20</v>
      </c>
      <c r="E14" s="19" t="s">
        <v>21</v>
      </c>
    </row>
    <row r="15" spans="2:5" x14ac:dyDescent="0.35">
      <c r="B15" s="14" t="s">
        <v>6</v>
      </c>
      <c r="C15" s="14">
        <f>SUMIF('Data '!$C$3:$C$50,Summary!B15,'Data '!$E$3:$E$50)</f>
        <v>2220</v>
      </c>
      <c r="D15" s="14">
        <f>COUNTIF('Data '!$C$3:$C$50,Summary!B15)</f>
        <v>10</v>
      </c>
      <c r="E15" s="14">
        <f>AVERAGEIF('Data '!$C$3:$C$50,Summary!B15,'Data '!$E$3:$E$50)</f>
        <v>222</v>
      </c>
    </row>
    <row r="16" spans="2:5" x14ac:dyDescent="0.35">
      <c r="B16" s="3" t="s">
        <v>5</v>
      </c>
      <c r="C16" s="3">
        <f>SUMIF('Data '!$C$3:$C$50,Summary!B16,'Data '!$E$3:$E$50)</f>
        <v>5670</v>
      </c>
      <c r="D16" s="3">
        <f>COUNTIF('Data '!$C$3:$C$50,Summary!B16)</f>
        <v>12</v>
      </c>
      <c r="E16" s="3">
        <f>AVERAGEIF('Data '!$C$3:$C$50,Summary!B16,'Data '!$E$3:$E$50)</f>
        <v>472.5</v>
      </c>
    </row>
    <row r="17" spans="2:5" x14ac:dyDescent="0.35">
      <c r="B17" s="3" t="s">
        <v>7</v>
      </c>
      <c r="C17" s="3">
        <f>SUMIF('Data '!$C$3:$C$50,Summary!B17,'Data '!$E$3:$E$50)</f>
        <v>38100</v>
      </c>
      <c r="D17" s="3">
        <f>COUNTIF('Data '!$C$3:$C$50,Summary!B17)</f>
        <v>10</v>
      </c>
      <c r="E17" s="3">
        <f>AVERAGEIF('Data '!$C$3:$C$50,Summary!B17,'Data '!$E$3:$E$50)</f>
        <v>3810</v>
      </c>
    </row>
    <row r="18" spans="2:5" x14ac:dyDescent="0.35">
      <c r="B18" s="3" t="s">
        <v>9</v>
      </c>
      <c r="C18" s="3">
        <f>SUMIF('Data '!$C$3:$C$50,Summary!B18,'Data '!$E$3:$E$50)</f>
        <v>2923</v>
      </c>
      <c r="D18" s="3">
        <f>COUNTIF('Data '!$C$3:$C$50,Summary!B18)</f>
        <v>11</v>
      </c>
      <c r="E18" s="3">
        <f>AVERAGEIF('Data '!$C$3:$C$50,Summary!B18,'Data '!$E$3:$E$50)</f>
        <v>265.72727272727275</v>
      </c>
    </row>
    <row r="19" spans="2:5" x14ac:dyDescent="0.35">
      <c r="B19" s="3" t="s">
        <v>8</v>
      </c>
      <c r="C19" s="3">
        <f>SUMIF('Data '!$C$3:$C$50,Summary!B19,'Data '!$E$3:$E$50)</f>
        <v>1530</v>
      </c>
      <c r="D19" s="3">
        <f>COUNTIF('Data '!$C$3:$C$50,Summary!B19)</f>
        <v>5</v>
      </c>
      <c r="E19" s="3">
        <f>AVERAGEIF('Data '!$C$3:$C$50,Summary!B19,'Data '!$E$3:$E$50)</f>
        <v>306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A6791-44E2-4133-83DC-CD1C66235FF6}">
  <dimension ref="B2:F7"/>
  <sheetViews>
    <sheetView zoomScale="130" zoomScaleNormal="130" workbookViewId="0">
      <selection activeCell="D12" sqref="D12"/>
    </sheetView>
  </sheetViews>
  <sheetFormatPr defaultRowHeight="14.5" x14ac:dyDescent="0.35"/>
  <cols>
    <col min="2" max="3" width="9.7265625" customWidth="1"/>
    <col min="4" max="4" width="9.54296875" customWidth="1"/>
    <col min="5" max="5" width="9.1796875" customWidth="1"/>
    <col min="6" max="6" width="12.54296875" customWidth="1"/>
  </cols>
  <sheetData>
    <row r="2" spans="2:6" x14ac:dyDescent="0.35">
      <c r="B2" s="11" t="s">
        <v>1</v>
      </c>
      <c r="C2" s="11" t="s">
        <v>23</v>
      </c>
      <c r="D2" s="11" t="s">
        <v>24</v>
      </c>
      <c r="E2" s="11" t="s">
        <v>25</v>
      </c>
      <c r="F2" s="11" t="s">
        <v>22</v>
      </c>
    </row>
    <row r="3" spans="2:6" x14ac:dyDescent="0.35">
      <c r="B3" s="3" t="s">
        <v>6</v>
      </c>
      <c r="C3" s="3">
        <v>2500</v>
      </c>
      <c r="D3" s="3">
        <f>SUMIF('Data '!C3:C50,Budget!B3,'Data '!E3:E50)</f>
        <v>2220</v>
      </c>
      <c r="E3" s="3">
        <f>C3-D3</f>
        <v>280</v>
      </c>
      <c r="F3" s="3" t="str">
        <f>IF(D3&gt;C3,"Over Budget","Within Budget")</f>
        <v>Within Budget</v>
      </c>
    </row>
    <row r="4" spans="2:6" x14ac:dyDescent="0.35">
      <c r="B4" s="3" t="s">
        <v>5</v>
      </c>
      <c r="C4" s="3">
        <v>3500</v>
      </c>
      <c r="D4" s="3">
        <f>SUMIF('Data '!C4:C51,Budget!B4,'Data '!E4:E51)</f>
        <v>4470</v>
      </c>
      <c r="E4" s="3">
        <f t="shared" ref="E4:E7" si="0">C4-D4</f>
        <v>-970</v>
      </c>
      <c r="F4" s="3" t="str">
        <f t="shared" ref="F4:F7" si="1">IF(D4&gt;C4,"Over Budget","Within Budget")</f>
        <v>Over Budget</v>
      </c>
    </row>
    <row r="5" spans="2:6" x14ac:dyDescent="0.35">
      <c r="B5" s="3" t="s">
        <v>7</v>
      </c>
      <c r="C5" s="3">
        <v>30000</v>
      </c>
      <c r="D5" s="3">
        <f>SUMIF('Data '!C5:C52,Budget!B5,'Data '!E5:E52)</f>
        <v>38100</v>
      </c>
      <c r="E5" s="3">
        <f t="shared" si="0"/>
        <v>-8100</v>
      </c>
      <c r="F5" s="3" t="str">
        <f t="shared" si="1"/>
        <v>Over Budget</v>
      </c>
    </row>
    <row r="6" spans="2:6" x14ac:dyDescent="0.35">
      <c r="B6" s="3" t="s">
        <v>9</v>
      </c>
      <c r="C6" s="3">
        <v>4000</v>
      </c>
      <c r="D6" s="3">
        <f>SUMIF('Data '!C6:C53,Budget!B6,'Data '!E6:E53)</f>
        <v>2923</v>
      </c>
      <c r="E6" s="3">
        <f t="shared" si="0"/>
        <v>1077</v>
      </c>
      <c r="F6" s="3" t="str">
        <f t="shared" si="1"/>
        <v>Within Budget</v>
      </c>
    </row>
    <row r="7" spans="2:6" x14ac:dyDescent="0.35">
      <c r="B7" s="3" t="s">
        <v>8</v>
      </c>
      <c r="C7" s="3">
        <v>1000</v>
      </c>
      <c r="D7" s="3">
        <f>SUMIF('Data '!C7:C54,Budget!B7,'Data '!E7:E54)</f>
        <v>1250</v>
      </c>
      <c r="E7" s="3">
        <f t="shared" si="0"/>
        <v>-250</v>
      </c>
      <c r="F7" s="3" t="str">
        <f t="shared" si="1"/>
        <v>Over Budget</v>
      </c>
    </row>
  </sheetData>
  <conditionalFormatting sqref="F3:F7">
    <cfRule type="containsText" dxfId="1" priority="1" operator="containsText" text="Within">
      <formula>NOT(ISERROR(SEARCH("Within",F3)))</formula>
    </cfRule>
    <cfRule type="containsText" dxfId="0" priority="2" operator="containsText" text="Over">
      <formula>NOT(ISERROR(SEARCH("Over",F3)))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D3193-05CC-4462-9950-F7FBC7CCB8C8}">
  <dimension ref="A1:E10"/>
  <sheetViews>
    <sheetView workbookViewId="0"/>
  </sheetViews>
  <sheetFormatPr defaultRowHeight="14.5" x14ac:dyDescent="0.35"/>
  <cols>
    <col min="1" max="1" width="13.6328125" bestFit="1" customWidth="1"/>
    <col min="2" max="2" width="15.6328125" bestFit="1" customWidth="1"/>
    <col min="3" max="4" width="5.81640625" bestFit="1" customWidth="1"/>
    <col min="5" max="5" width="10.36328125" bestFit="1" customWidth="1"/>
  </cols>
  <sheetData>
    <row r="1" spans="1:5" x14ac:dyDescent="0.35">
      <c r="A1" s="5" t="s">
        <v>4</v>
      </c>
      <c r="B1" t="s" vm="1">
        <v>30</v>
      </c>
    </row>
    <row r="3" spans="1:5" x14ac:dyDescent="0.35">
      <c r="A3" s="5" t="s">
        <v>29</v>
      </c>
      <c r="B3" s="5" t="s">
        <v>28</v>
      </c>
    </row>
    <row r="4" spans="1:5" x14ac:dyDescent="0.35">
      <c r="A4" s="5" t="s">
        <v>26</v>
      </c>
      <c r="B4" t="s">
        <v>12</v>
      </c>
      <c r="C4" t="s">
        <v>11</v>
      </c>
      <c r="D4" t="s">
        <v>10</v>
      </c>
      <c r="E4" t="s">
        <v>27</v>
      </c>
    </row>
    <row r="5" spans="1:5" x14ac:dyDescent="0.35">
      <c r="A5" s="6" t="s">
        <v>6</v>
      </c>
      <c r="B5" s="7"/>
      <c r="C5" s="7">
        <v>1160</v>
      </c>
      <c r="D5" s="7">
        <v>1060</v>
      </c>
      <c r="E5" s="7">
        <v>2220</v>
      </c>
    </row>
    <row r="6" spans="1:5" x14ac:dyDescent="0.35">
      <c r="A6" s="6" t="s">
        <v>8</v>
      </c>
      <c r="B6" s="7">
        <v>500</v>
      </c>
      <c r="C6" s="7">
        <v>250</v>
      </c>
      <c r="D6" s="7">
        <v>780</v>
      </c>
      <c r="E6" s="7">
        <v>1530</v>
      </c>
    </row>
    <row r="7" spans="1:5" x14ac:dyDescent="0.35">
      <c r="A7" s="6" t="s">
        <v>7</v>
      </c>
      <c r="B7" s="7">
        <v>12000</v>
      </c>
      <c r="C7" s="7">
        <v>10100</v>
      </c>
      <c r="D7" s="7">
        <v>16000</v>
      </c>
      <c r="E7" s="7">
        <v>38100</v>
      </c>
    </row>
    <row r="8" spans="1:5" x14ac:dyDescent="0.35">
      <c r="A8" s="6" t="s">
        <v>9</v>
      </c>
      <c r="B8" s="7">
        <v>1799</v>
      </c>
      <c r="C8" s="7">
        <v>804</v>
      </c>
      <c r="D8" s="7">
        <v>320</v>
      </c>
      <c r="E8" s="7">
        <v>2923</v>
      </c>
    </row>
    <row r="9" spans="1:5" x14ac:dyDescent="0.35">
      <c r="A9" s="6" t="s">
        <v>5</v>
      </c>
      <c r="B9" s="7">
        <v>2150</v>
      </c>
      <c r="C9" s="7">
        <v>810</v>
      </c>
      <c r="D9" s="7">
        <v>2710</v>
      </c>
      <c r="E9" s="7">
        <v>5670</v>
      </c>
    </row>
    <row r="10" spans="1:5" x14ac:dyDescent="0.35">
      <c r="A10" s="6" t="s">
        <v>27</v>
      </c>
      <c r="B10" s="7">
        <v>16449</v>
      </c>
      <c r="C10" s="7">
        <v>13124</v>
      </c>
      <c r="D10" s="7">
        <v>20870</v>
      </c>
      <c r="E10" s="7">
        <v>50443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E2E16-B81E-4532-BBFE-2AC5F184564A}">
  <dimension ref="B4:G9"/>
  <sheetViews>
    <sheetView tabSelected="1" zoomScale="76" zoomScaleNormal="100" workbookViewId="0">
      <selection activeCell="M10" sqref="M10"/>
    </sheetView>
  </sheetViews>
  <sheetFormatPr defaultRowHeight="14.5" x14ac:dyDescent="0.35"/>
  <cols>
    <col min="2" max="2" width="12.7265625" customWidth="1"/>
    <col min="3" max="3" width="23.7265625" customWidth="1"/>
    <col min="4" max="4" width="23.81640625" customWidth="1"/>
    <col min="5" max="5" width="8.7265625" hidden="1" customWidth="1"/>
    <col min="6" max="6" width="29.26953125" customWidth="1"/>
    <col min="7" max="7" width="15.54296875" customWidth="1"/>
  </cols>
  <sheetData>
    <row r="4" spans="2:7" ht="21" x14ac:dyDescent="0.5">
      <c r="F4" s="9" t="s">
        <v>31</v>
      </c>
      <c r="G4" s="9"/>
    </row>
    <row r="5" spans="2:7" ht="21" x14ac:dyDescent="0.5">
      <c r="F5" s="10"/>
      <c r="G5" s="10"/>
    </row>
    <row r="6" spans="2:7" ht="21" x14ac:dyDescent="0.5">
      <c r="F6" s="10" t="s">
        <v>14</v>
      </c>
      <c r="G6" s="10">
        <f>Summary!C3</f>
        <v>50443</v>
      </c>
    </row>
    <row r="7" spans="2:7" ht="21" x14ac:dyDescent="0.5">
      <c r="F7" s="10" t="s">
        <v>15</v>
      </c>
      <c r="G7" s="10">
        <f>ROUND(Summary!C5,0)</f>
        <v>1051</v>
      </c>
    </row>
    <row r="8" spans="2:7" ht="21" x14ac:dyDescent="0.5">
      <c r="B8" s="4"/>
      <c r="C8" s="8"/>
      <c r="F8" s="10" t="s">
        <v>18</v>
      </c>
      <c r="G8" s="10">
        <f>Summary!C11</f>
        <v>48</v>
      </c>
    </row>
    <row r="9" spans="2:7" ht="21" x14ac:dyDescent="0.5">
      <c r="F9" s="10" t="s">
        <v>32</v>
      </c>
      <c r="G9" s="10">
        <f>COUNTIF(Budget!F3:F7,"Over Budget")</f>
        <v>3</v>
      </c>
    </row>
  </sheetData>
  <mergeCells count="1">
    <mergeCell ref="F4:G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</vt:lpstr>
      <vt:lpstr>Summary</vt:lpstr>
      <vt:lpstr>Budget</vt:lpstr>
      <vt:lpstr>Pivot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shadab khan</dc:creator>
  <cp:lastModifiedBy>shadab khan</cp:lastModifiedBy>
  <dcterms:created xsi:type="dcterms:W3CDTF">2026-10-27T18:06:51Z</dcterms:created>
  <dcterms:modified xsi:type="dcterms:W3CDTF">2026-10-28T11:11:06Z</dcterms:modified>
</cp:coreProperties>
</file>